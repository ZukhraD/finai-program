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писание" sheetId="1" state="visible" r:id="rId1"/>
    <sheet xmlns:r="http://schemas.openxmlformats.org/officeDocument/2006/relationships" name="ОСВ 2025" sheetId="2" state="visible" r:id="rId2"/>
    <sheet xmlns:r="http://schemas.openxmlformats.org/officeDocument/2006/relationships" name="Баланс" sheetId="3" state="visible" r:id="rId3"/>
    <sheet xmlns:r="http://schemas.openxmlformats.org/officeDocument/2006/relationships" name="Шаблон баланса 2025" sheetId="4" state="visible" r:id="rId4"/>
    <sheet xmlns:r="http://schemas.openxmlformats.org/officeDocument/2006/relationships" name="Выручка" sheetId="5" state="visible" r:id="rId5"/>
    <sheet xmlns:r="http://schemas.openxmlformats.org/officeDocument/2006/relationships" name="Пакет М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-#,##0"/>
  </numFmts>
  <fonts count="5">
    <font>
      <name val="Calibri"/>
      <family val="2"/>
      <color theme="1"/>
      <sz val="11"/>
      <scheme val="minor"/>
    </font>
    <font>
      <b val="1"/>
      <color rgb="00272727"/>
      <sz val="14"/>
    </font>
    <font/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023DFF"/>
      </patternFill>
    </fill>
    <fill>
      <patternFill patternType="solid">
        <fgColor rgb="00E6ECFF"/>
      </patternFill>
    </fill>
    <fill>
      <patternFill patternType="solid">
        <fgColor rgb="00FFF7D6"/>
      </patternFill>
    </fill>
  </fills>
  <borders count="2">
    <border>
      <left/>
      <right/>
      <top/>
      <bottom/>
      <diagonal/>
    </border>
    <border>
      <left style="thin">
        <color rgb="00E5E4E2"/>
      </left>
      <right style="thin">
        <color rgb="00E5E4E2"/>
      </right>
      <top style="thin">
        <color rgb="00E5E4E2"/>
      </top>
      <bottom style="thin">
        <color rgb="00E5E4E2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0" fillId="0" borderId="1" pivotButton="0" quotePrefix="0" xfId="0"/>
    <xf numFmtId="164" fontId="0" fillId="0" borderId="1" pivotButton="0" quotePrefix="0" xfId="0"/>
    <xf numFmtId="164" fontId="0" fillId="0" borderId="0" pivotButton="0" quotePrefix="0" xfId="0"/>
    <xf numFmtId="0" fontId="4" fillId="0" borderId="0" pivotButton="0" quotePrefix="0" xfId="0"/>
    <xf numFmtId="164" fontId="4" fillId="3" borderId="0" pivotButton="0" quotePrefix="0" xfId="0"/>
    <xf numFmtId="164" fontId="4" fillId="0" borderId="0" pivotButton="0" quotePrefix="0" xfId="0"/>
    <xf numFmtId="164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ТОО «Образец-Трейд» — компания-образец для курса «Финансовый анализ + ИИ»</t>
        </is>
      </c>
    </row>
    <row r="2">
      <c r="A2" s="2" t="inlineStr"/>
    </row>
    <row r="3">
      <c r="A3" s="2" t="inlineStr">
        <is>
          <t>Все данные вымышлены. Суммы в тысячах тенге.</t>
        </is>
      </c>
    </row>
    <row r="4">
      <c r="A4" s="2" t="inlineStr">
        <is>
          <t>Деятельность: оптовая торговля строительными материалами, Алматы. Плательщик НДС (ставка 2025 года — 12%).</t>
        </is>
      </c>
    </row>
    <row r="5">
      <c r="A5" s="2" t="inlineStr"/>
    </row>
    <row r="6">
      <c r="A6" s="2" t="inlineStr">
        <is>
          <t>Листы:</t>
        </is>
      </c>
    </row>
    <row r="7">
      <c r="A7" s="2" t="inlineStr">
        <is>
          <t>• ОСВ 2025 — оборотно-сальдовая ведомость за 2025 год (модуль 3)</t>
        </is>
      </c>
    </row>
    <row r="8">
      <c r="A8" s="2" t="inlineStr">
        <is>
          <t>• Баланс — бухгалтерский баланс по форме №404 за 2023–2024 годы; 2025 год собираете сами (модуль 3)</t>
        </is>
      </c>
    </row>
    <row r="9">
      <c r="A9" s="2" t="inlineStr">
        <is>
          <t>• Выручка — выручка из ОПиУ за 2023–2025 годы (модули 1, 3)</t>
        </is>
      </c>
    </row>
    <row r="10">
      <c r="A10" s="2" t="inlineStr">
        <is>
          <t>• Пакет М1 — декларации, выписки, кредитный отчёт для сверок (модуль 1)</t>
        </is>
      </c>
    </row>
    <row r="11">
      <c r="A11" s="2" t="inlineStr">
        <is>
          <t>• Шаблон баланса 2025 — жёлтые ячейки заполняете, итоги и проверка считаются сами</t>
        </is>
      </c>
    </row>
    <row r="12">
      <c r="A12" s="2" t="inlineStr"/>
    </row>
    <row r="13">
      <c r="A13" s="2" t="inlineStr">
        <is>
          <t>Ответы и автопроверка — на сайте курса, в разделе «Практика» каждого модуля.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4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Оборотно-сальдовая ведомость за 2025 год, тыс. ₸</t>
        </is>
      </c>
    </row>
    <row r="3">
      <c r="A3" s="3" t="inlineStr">
        <is>
          <t>Счёт</t>
        </is>
      </c>
      <c r="B3" s="3" t="inlineStr">
        <is>
          <t>Наименование</t>
        </is>
      </c>
      <c r="C3" s="3" t="inlineStr">
        <is>
          <t>Сальдо нач. Дт</t>
        </is>
      </c>
      <c r="D3" s="3" t="inlineStr">
        <is>
          <t>Сальдо нач. Кт</t>
        </is>
      </c>
      <c r="E3" s="3" t="inlineStr">
        <is>
          <t>Обороты Дт</t>
        </is>
      </c>
      <c r="F3" s="3" t="inlineStr">
        <is>
          <t>Обороты Кт</t>
        </is>
      </c>
      <c r="G3" s="3" t="inlineStr">
        <is>
          <t>Сальдо кон. Дт</t>
        </is>
      </c>
      <c r="H3" s="3" t="inlineStr">
        <is>
          <t>Сальдо кон. Кт</t>
        </is>
      </c>
    </row>
    <row r="4">
      <c r="A4" s="4" t="inlineStr">
        <is>
          <t>1010</t>
        </is>
      </c>
      <c r="B4" s="4" t="inlineStr">
        <is>
          <t>Денежные средства в кассе</t>
        </is>
      </c>
      <c r="C4" s="5" t="n">
        <v>300</v>
      </c>
      <c r="D4" s="5" t="n">
        <v>0</v>
      </c>
      <c r="E4" s="5" t="n">
        <v>4100</v>
      </c>
      <c r="F4" s="5" t="n">
        <v>4200</v>
      </c>
      <c r="G4" s="6">
        <f>MAX(C4-D4+E4-F4,0)</f>
        <v/>
      </c>
      <c r="H4" s="6">
        <f>MAX(D4-C4+F4-E4,0)</f>
        <v/>
      </c>
    </row>
    <row r="5">
      <c r="A5" s="4" t="inlineStr">
        <is>
          <t>1030</t>
        </is>
      </c>
      <c r="B5" s="4" t="inlineStr">
        <is>
          <t>Денежные средства на текущих банковских счетах</t>
        </is>
      </c>
      <c r="C5" s="5" t="n">
        <v>21800</v>
      </c>
      <c r="D5" s="5" t="n">
        <v>0</v>
      </c>
      <c r="E5" s="5" t="n">
        <v>695200</v>
      </c>
      <c r="F5" s="5" t="n">
        <v>707400</v>
      </c>
      <c r="G5" s="6">
        <f>MAX(C5-D5+E5-F5,0)</f>
        <v/>
      </c>
      <c r="H5" s="6">
        <f>MAX(D5-C5+F5-E5,0)</f>
        <v/>
      </c>
    </row>
    <row r="6">
      <c r="A6" s="4" t="inlineStr">
        <is>
          <t>1210</t>
        </is>
      </c>
      <c r="B6" s="4" t="inlineStr">
        <is>
          <t>Краткосрочная дебиторская задолженность покупателей</t>
        </is>
      </c>
      <c r="C6" s="5" t="n">
        <v>81500</v>
      </c>
      <c r="D6" s="5" t="n">
        <v>0</v>
      </c>
      <c r="E6" s="5" t="n">
        <v>643200</v>
      </c>
      <c r="F6" s="5" t="n">
        <v>605800</v>
      </c>
      <c r="G6" s="6">
        <f>MAX(C6-D6+E6-F6,0)</f>
        <v/>
      </c>
      <c r="H6" s="6">
        <f>MAX(D6-C6+F6-E6,0)</f>
        <v/>
      </c>
    </row>
    <row r="7">
      <c r="A7" s="4" t="inlineStr">
        <is>
          <t>1330</t>
        </is>
      </c>
      <c r="B7" s="4" t="inlineStr">
        <is>
          <t>Товары</t>
        </is>
      </c>
      <c r="C7" s="5" t="n">
        <v>104700</v>
      </c>
      <c r="D7" s="5" t="n">
        <v>0</v>
      </c>
      <c r="E7" s="5" t="n">
        <v>488000</v>
      </c>
      <c r="F7" s="5" t="n">
        <v>461100</v>
      </c>
      <c r="G7" s="6">
        <f>MAX(C7-D7+E7-F7,0)</f>
        <v/>
      </c>
      <c r="H7" s="6">
        <f>MAX(D7-C7+F7-E7,0)</f>
        <v/>
      </c>
    </row>
    <row r="8">
      <c r="A8" s="4" t="inlineStr">
        <is>
          <t>1420</t>
        </is>
      </c>
      <c r="B8" s="4" t="inlineStr">
        <is>
          <t>НДС к возмещению</t>
        </is>
      </c>
      <c r="C8" s="5" t="n">
        <v>2100</v>
      </c>
      <c r="D8" s="5" t="n">
        <v>0</v>
      </c>
      <c r="E8" s="5" t="n">
        <v>61400</v>
      </c>
      <c r="F8" s="5" t="n">
        <v>59600</v>
      </c>
      <c r="G8" s="6">
        <f>MAX(C8-D8+E8-F8,0)</f>
        <v/>
      </c>
      <c r="H8" s="6">
        <f>MAX(D8-C8+F8-E8,0)</f>
        <v/>
      </c>
    </row>
    <row r="9">
      <c r="A9" s="4" t="inlineStr">
        <is>
          <t>1710</t>
        </is>
      </c>
      <c r="B9" s="4" t="inlineStr">
        <is>
          <t>Краткосрочные авансы выданные</t>
        </is>
      </c>
      <c r="C9" s="5" t="n">
        <v>7200</v>
      </c>
      <c r="D9" s="5" t="n">
        <v>0</v>
      </c>
      <c r="E9" s="5" t="n">
        <v>54300</v>
      </c>
      <c r="F9" s="5" t="n">
        <v>49000</v>
      </c>
      <c r="G9" s="6">
        <f>MAX(C9-D9+E9-F9,0)</f>
        <v/>
      </c>
      <c r="H9" s="6">
        <f>MAX(D9-C9+F9-E9,0)</f>
        <v/>
      </c>
    </row>
    <row r="10">
      <c r="A10" s="4" t="inlineStr">
        <is>
          <t>2160</t>
        </is>
      </c>
      <c r="B10" s="4" t="inlineStr">
        <is>
          <t>Долгосрочная ДЗ: займ учредителю</t>
        </is>
      </c>
      <c r="C10" s="5" t="n">
        <v>0</v>
      </c>
      <c r="D10" s="5" t="n">
        <v>0</v>
      </c>
      <c r="E10" s="5" t="n">
        <v>15000</v>
      </c>
      <c r="F10" s="5" t="n">
        <v>0</v>
      </c>
      <c r="G10" s="6">
        <f>MAX(C10-D10+E10-F10,0)</f>
        <v/>
      </c>
      <c r="H10" s="6">
        <f>MAX(D10-C10+F10-E10,0)</f>
        <v/>
      </c>
    </row>
    <row r="11">
      <c r="A11" s="4" t="inlineStr">
        <is>
          <t>2410</t>
        </is>
      </c>
      <c r="B11" s="4" t="inlineStr">
        <is>
          <t>Основные средства</t>
        </is>
      </c>
      <c r="C11" s="5" t="n">
        <v>68500</v>
      </c>
      <c r="D11" s="5" t="n">
        <v>0</v>
      </c>
      <c r="E11" s="5" t="n">
        <v>13200</v>
      </c>
      <c r="F11" s="5" t="n">
        <v>0</v>
      </c>
      <c r="G11" s="6">
        <f>MAX(C11-D11+E11-F11,0)</f>
        <v/>
      </c>
      <c r="H11" s="6">
        <f>MAX(D11-C11+F11-E11,0)</f>
        <v/>
      </c>
    </row>
    <row r="12">
      <c r="A12" s="4" t="inlineStr">
        <is>
          <t>2420</t>
        </is>
      </c>
      <c r="B12" s="4" t="inlineStr">
        <is>
          <t>Амортизация основных средств</t>
        </is>
      </c>
      <c r="C12" s="5" t="n">
        <v>0</v>
      </c>
      <c r="D12" s="5" t="n">
        <v>22200</v>
      </c>
      <c r="E12" s="5" t="n">
        <v>0</v>
      </c>
      <c r="F12" s="5" t="n">
        <v>6600</v>
      </c>
      <c r="G12" s="6">
        <f>MAX(C12-D12+E12-F12,0)</f>
        <v/>
      </c>
      <c r="H12" s="6">
        <f>MAX(D12-C12+F12-E12,0)</f>
        <v/>
      </c>
    </row>
    <row r="13">
      <c r="A13" s="4" t="inlineStr">
        <is>
          <t>2730</t>
        </is>
      </c>
      <c r="B13" s="4" t="inlineStr">
        <is>
          <t>Нематериальные активы</t>
        </is>
      </c>
      <c r="C13" s="5" t="n">
        <v>900</v>
      </c>
      <c r="D13" s="5" t="n">
        <v>0</v>
      </c>
      <c r="E13" s="5" t="n">
        <v>0</v>
      </c>
      <c r="F13" s="5" t="n">
        <v>0</v>
      </c>
      <c r="G13" s="6">
        <f>MAX(C13-D13+E13-F13,0)</f>
        <v/>
      </c>
      <c r="H13" s="6">
        <f>MAX(D13-C13+F13-E13,0)</f>
        <v/>
      </c>
    </row>
    <row r="14">
      <c r="A14" s="4" t="inlineStr">
        <is>
          <t>2740</t>
        </is>
      </c>
      <c r="B14" s="4" t="inlineStr">
        <is>
          <t>Амортизация нематериальных активов</t>
        </is>
      </c>
      <c r="C14" s="5" t="n">
        <v>0</v>
      </c>
      <c r="D14" s="5" t="n">
        <v>400</v>
      </c>
      <c r="E14" s="5" t="n">
        <v>0</v>
      </c>
      <c r="F14" s="5" t="n">
        <v>100</v>
      </c>
      <c r="G14" s="6">
        <f>MAX(C14-D14+E14-F14,0)</f>
        <v/>
      </c>
      <c r="H14" s="6">
        <f>MAX(D14-C14+F14-E14,0)</f>
        <v/>
      </c>
    </row>
    <row r="15">
      <c r="A15" s="4" t="inlineStr">
        <is>
          <t>3010</t>
        </is>
      </c>
      <c r="B15" s="4" t="inlineStr">
        <is>
          <t>Краткосрочные банковские займы</t>
        </is>
      </c>
      <c r="C15" s="5" t="n">
        <v>0</v>
      </c>
      <c r="D15" s="5" t="n">
        <v>45000</v>
      </c>
      <c r="E15" s="5" t="n">
        <v>52000</v>
      </c>
      <c r="F15" s="5" t="n">
        <v>85000</v>
      </c>
      <c r="G15" s="6">
        <f>MAX(C15-D15+E15-F15,0)</f>
        <v/>
      </c>
      <c r="H15" s="6">
        <f>MAX(D15-C15+F15-E15,0)</f>
        <v/>
      </c>
    </row>
    <row r="16">
      <c r="A16" s="4" t="inlineStr">
        <is>
          <t>3110</t>
        </is>
      </c>
      <c r="B16" s="4" t="inlineStr">
        <is>
          <t>Корпоративный подоходный налог к уплате</t>
        </is>
      </c>
      <c r="C16" s="5" t="n">
        <v>0</v>
      </c>
      <c r="D16" s="5" t="n">
        <v>2300</v>
      </c>
      <c r="E16" s="5" t="n">
        <v>6600</v>
      </c>
      <c r="F16" s="5" t="n">
        <v>5400</v>
      </c>
      <c r="G16" s="6">
        <f>MAX(C16-D16+E16-F16,0)</f>
        <v/>
      </c>
      <c r="H16" s="6">
        <f>MAX(D16-C16+F16-E16,0)</f>
        <v/>
      </c>
    </row>
    <row r="17">
      <c r="A17" s="4" t="inlineStr">
        <is>
          <t>3190</t>
        </is>
      </c>
      <c r="B17" s="4" t="inlineStr">
        <is>
          <t>Прочие налоги к уплате</t>
        </is>
      </c>
      <c r="C17" s="5" t="n">
        <v>0</v>
      </c>
      <c r="D17" s="5" t="n">
        <v>2400</v>
      </c>
      <c r="E17" s="5" t="n">
        <v>28600</v>
      </c>
      <c r="F17" s="5" t="n">
        <v>28900</v>
      </c>
      <c r="G17" s="6">
        <f>MAX(C17-D17+E17-F17,0)</f>
        <v/>
      </c>
      <c r="H17" s="6">
        <f>MAX(D17-C17+F17-E17,0)</f>
        <v/>
      </c>
    </row>
    <row r="18">
      <c r="A18" s="4" t="inlineStr">
        <is>
          <t>3310</t>
        </is>
      </c>
      <c r="B18" s="4" t="inlineStr">
        <is>
          <t>Краткосрочная КЗ поставщикам</t>
        </is>
      </c>
      <c r="C18" s="5" t="n">
        <v>0</v>
      </c>
      <c r="D18" s="5" t="n">
        <v>82600</v>
      </c>
      <c r="E18" s="5" t="n">
        <v>512800</v>
      </c>
      <c r="F18" s="5" t="n">
        <v>542600</v>
      </c>
      <c r="G18" s="6">
        <f>MAX(C18-D18+E18-F18,0)</f>
        <v/>
      </c>
      <c r="H18" s="6">
        <f>MAX(D18-C18+F18-E18,0)</f>
        <v/>
      </c>
    </row>
    <row r="19">
      <c r="A19" s="4" t="inlineStr">
        <is>
          <t>3350</t>
        </is>
      </c>
      <c r="B19" s="4" t="inlineStr">
        <is>
          <t>Задолженность по оплате труда</t>
        </is>
      </c>
      <c r="C19" s="5" t="n">
        <v>0</v>
      </c>
      <c r="D19" s="5" t="n">
        <v>2400</v>
      </c>
      <c r="E19" s="5" t="n">
        <v>30900</v>
      </c>
      <c r="F19" s="5" t="n">
        <v>31200</v>
      </c>
      <c r="G19" s="6">
        <f>MAX(C19-D19+E19-F19,0)</f>
        <v/>
      </c>
      <c r="H19" s="6">
        <f>MAX(D19-C19+F19-E19,0)</f>
        <v/>
      </c>
    </row>
    <row r="20">
      <c r="A20" s="4" t="inlineStr">
        <is>
          <t>3510</t>
        </is>
      </c>
      <c r="B20" s="4" t="inlineStr">
        <is>
          <t>Краткосрочные авансы полученные</t>
        </is>
      </c>
      <c r="C20" s="5" t="n">
        <v>0</v>
      </c>
      <c r="D20" s="5" t="n">
        <v>5100</v>
      </c>
      <c r="E20" s="5" t="n">
        <v>41200</v>
      </c>
      <c r="F20" s="5" t="n">
        <v>43000</v>
      </c>
      <c r="G20" s="6">
        <f>MAX(C20-D20+E20-F20,0)</f>
        <v/>
      </c>
      <c r="H20" s="6">
        <f>MAX(D20-C20+F20-E20,0)</f>
        <v/>
      </c>
    </row>
    <row r="21">
      <c r="A21" s="4" t="inlineStr">
        <is>
          <t>4010</t>
        </is>
      </c>
      <c r="B21" s="4" t="inlineStr">
        <is>
          <t>Долгосрочные банковские займы</t>
        </is>
      </c>
      <c r="C21" s="5" t="n">
        <v>0</v>
      </c>
      <c r="D21" s="5" t="n">
        <v>20000</v>
      </c>
      <c r="E21" s="5" t="n">
        <v>5000</v>
      </c>
      <c r="F21" s="5" t="n">
        <v>0</v>
      </c>
      <c r="G21" s="6">
        <f>MAX(C21-D21+E21-F21,0)</f>
        <v/>
      </c>
      <c r="H21" s="6">
        <f>MAX(D21-C21+F21-E21,0)</f>
        <v/>
      </c>
    </row>
    <row r="22">
      <c r="A22" s="4" t="inlineStr">
        <is>
          <t>5030</t>
        </is>
      </c>
      <c r="B22" s="4" t="inlineStr">
        <is>
          <t>Вклады и паи (уставный капитал ТОО)</t>
        </is>
      </c>
      <c r="C22" s="5" t="n">
        <v>0</v>
      </c>
      <c r="D22" s="5" t="n">
        <v>1000</v>
      </c>
      <c r="E22" s="5" t="n">
        <v>0</v>
      </c>
      <c r="F22" s="5" t="n">
        <v>0</v>
      </c>
      <c r="G22" s="6">
        <f>MAX(C22-D22+E22-F22,0)</f>
        <v/>
      </c>
      <c r="H22" s="6">
        <f>MAX(D22-C22+F22-E22,0)</f>
        <v/>
      </c>
    </row>
    <row r="23">
      <c r="A23" s="4" t="inlineStr">
        <is>
          <t>5610</t>
        </is>
      </c>
      <c r="B23" s="4" t="inlineStr">
        <is>
          <t>Нераспределённая прибыль отчётного года</t>
        </is>
      </c>
      <c r="C23" s="5" t="n">
        <v>0</v>
      </c>
      <c r="D23" s="5" t="n">
        <v>0</v>
      </c>
      <c r="E23" s="5" t="n">
        <v>0</v>
      </c>
      <c r="F23" s="5" t="n">
        <v>21600</v>
      </c>
      <c r="G23" s="6">
        <f>MAX(C23-D23+E23-F23,0)</f>
        <v/>
      </c>
      <c r="H23" s="6">
        <f>MAX(D23-C23+F23-E23,0)</f>
        <v/>
      </c>
    </row>
    <row r="24">
      <c r="A24" s="4" t="inlineStr">
        <is>
          <t>5620</t>
        </is>
      </c>
      <c r="B24" s="4" t="inlineStr">
        <is>
          <t>Нераспределённая прибыль прошлых лет</t>
        </is>
      </c>
      <c r="C24" s="5" t="n">
        <v>0</v>
      </c>
      <c r="D24" s="5" t="n">
        <v>103600</v>
      </c>
      <c r="E24" s="5" t="n">
        <v>0</v>
      </c>
      <c r="F24" s="5" t="n">
        <v>0</v>
      </c>
      <c r="G24" s="6">
        <f>MAX(C24-D24+E24-F24,0)</f>
        <v/>
      </c>
      <c r="H24" s="6">
        <f>MAX(D24-C24+F24-E24,0)</f>
        <v/>
      </c>
    </row>
    <row r="25">
      <c r="A25" s="4" t="inlineStr">
        <is>
          <t>6010</t>
        </is>
      </c>
      <c r="B25" s="4" t="inlineStr">
        <is>
          <t>Доход от реализации товаров</t>
        </is>
      </c>
      <c r="C25" s="5" t="n">
        <v>0</v>
      </c>
      <c r="D25" s="5" t="n">
        <v>0</v>
      </c>
      <c r="E25" s="5" t="n">
        <v>574300</v>
      </c>
      <c r="F25" s="5" t="n">
        <v>574300</v>
      </c>
      <c r="G25" s="6">
        <f>MAX(C25-D25+E25-F25,0)</f>
        <v/>
      </c>
      <c r="H25" s="6">
        <f>MAX(D25-C25+F25-E25,0)</f>
        <v/>
      </c>
    </row>
    <row r="26">
      <c r="A26" s="4" t="inlineStr">
        <is>
          <t>6280</t>
        </is>
      </c>
      <c r="B26" s="4" t="inlineStr">
        <is>
          <t>Прочие доходы</t>
        </is>
      </c>
      <c r="C26" s="5" t="n">
        <v>0</v>
      </c>
      <c r="D26" s="5" t="n">
        <v>0</v>
      </c>
      <c r="E26" s="5" t="n">
        <v>2600</v>
      </c>
      <c r="F26" s="5" t="n">
        <v>2600</v>
      </c>
      <c r="G26" s="6">
        <f>MAX(C26-D26+E26-F26,0)</f>
        <v/>
      </c>
      <c r="H26" s="6">
        <f>MAX(D26-C26+F26-E26,0)</f>
        <v/>
      </c>
    </row>
    <row r="27">
      <c r="A27" s="4" t="inlineStr">
        <is>
          <t>7010</t>
        </is>
      </c>
      <c r="B27" s="4" t="inlineStr">
        <is>
          <t>Себестоимость реализованных товаров</t>
        </is>
      </c>
      <c r="C27" s="5" t="n">
        <v>0</v>
      </c>
      <c r="D27" s="5" t="n">
        <v>0</v>
      </c>
      <c r="E27" s="5" t="n">
        <v>461100</v>
      </c>
      <c r="F27" s="5" t="n">
        <v>461100</v>
      </c>
      <c r="G27" s="6">
        <f>MAX(C27-D27+E27-F27,0)</f>
        <v/>
      </c>
      <c r="H27" s="6">
        <f>MAX(D27-C27+F27-E27,0)</f>
        <v/>
      </c>
    </row>
    <row r="28">
      <c r="A28" s="4" t="inlineStr">
        <is>
          <t>7110</t>
        </is>
      </c>
      <c r="B28" s="4" t="inlineStr">
        <is>
          <t>Расходы по реализации</t>
        </is>
      </c>
      <c r="C28" s="5" t="n">
        <v>0</v>
      </c>
      <c r="D28" s="5" t="n">
        <v>0</v>
      </c>
      <c r="E28" s="5" t="n">
        <v>38700</v>
      </c>
      <c r="F28" s="5" t="n">
        <v>38700</v>
      </c>
      <c r="G28" s="6">
        <f>MAX(C28-D28+E28-F28,0)</f>
        <v/>
      </c>
      <c r="H28" s="6">
        <f>MAX(D28-C28+F28-E28,0)</f>
        <v/>
      </c>
    </row>
    <row r="29">
      <c r="A29" s="4" t="inlineStr">
        <is>
          <t>7210</t>
        </is>
      </c>
      <c r="B29" s="4" t="inlineStr">
        <is>
          <t>Административные расходы</t>
        </is>
      </c>
      <c r="C29" s="5" t="n">
        <v>0</v>
      </c>
      <c r="D29" s="5" t="n">
        <v>0</v>
      </c>
      <c r="E29" s="5" t="n">
        <v>31900</v>
      </c>
      <c r="F29" s="5" t="n">
        <v>31900</v>
      </c>
      <c r="G29" s="6">
        <f>MAX(C29-D29+E29-F29,0)</f>
        <v/>
      </c>
      <c r="H29" s="6">
        <f>MAX(D29-C29+F29-E29,0)</f>
        <v/>
      </c>
    </row>
    <row r="30">
      <c r="A30" s="4" t="inlineStr">
        <is>
          <t>7310</t>
        </is>
      </c>
      <c r="B30" s="4" t="inlineStr">
        <is>
          <t>Расходы на вознаграждение (проценты по займам)</t>
        </is>
      </c>
      <c r="C30" s="5" t="n">
        <v>0</v>
      </c>
      <c r="D30" s="5" t="n">
        <v>0</v>
      </c>
      <c r="E30" s="5" t="n">
        <v>16800</v>
      </c>
      <c r="F30" s="5" t="n">
        <v>16800</v>
      </c>
      <c r="G30" s="6">
        <f>MAX(C30-D30+E30-F30,0)</f>
        <v/>
      </c>
      <c r="H30" s="6">
        <f>MAX(D30-C30+F30-E30,0)</f>
        <v/>
      </c>
    </row>
    <row r="31">
      <c r="A31" s="4" t="inlineStr">
        <is>
          <t>7480</t>
        </is>
      </c>
      <c r="B31" s="4" t="inlineStr">
        <is>
          <t>Прочие расходы</t>
        </is>
      </c>
      <c r="C31" s="5" t="n">
        <v>0</v>
      </c>
      <c r="D31" s="5" t="n">
        <v>0</v>
      </c>
      <c r="E31" s="5" t="n">
        <v>1400</v>
      </c>
      <c r="F31" s="5" t="n">
        <v>1400</v>
      </c>
      <c r="G31" s="6">
        <f>MAX(C31-D31+E31-F31,0)</f>
        <v/>
      </c>
      <c r="H31" s="6">
        <f>MAX(D31-C31+F31-E31,0)</f>
        <v/>
      </c>
    </row>
    <row r="32">
      <c r="A32" s="4" t="inlineStr">
        <is>
          <t>7710</t>
        </is>
      </c>
      <c r="B32" s="4" t="inlineStr">
        <is>
          <t>Расходы по корпоративному подоходному налогу</t>
        </is>
      </c>
      <c r="C32" s="5" t="n">
        <v>0</v>
      </c>
      <c r="D32" s="5" t="n">
        <v>0</v>
      </c>
      <c r="E32" s="5" t="n">
        <v>5400</v>
      </c>
      <c r="F32" s="5" t="n">
        <v>5400</v>
      </c>
      <c r="G32" s="6">
        <f>MAX(C32-D32+E32-F32,0)</f>
        <v/>
      </c>
      <c r="H32" s="6">
        <f>MAX(D32-C32+F32-E32,0)</f>
        <v/>
      </c>
    </row>
    <row r="33">
      <c r="B33" s="7" t="inlineStr">
        <is>
          <t>Итого</t>
        </is>
      </c>
      <c r="C33" s="8">
        <f>SUM(C4:C32)</f>
        <v/>
      </c>
      <c r="D33" s="8">
        <f>SUM(D4:D32)</f>
        <v/>
      </c>
      <c r="E33" s="8">
        <f>SUM(E4:E32)</f>
        <v/>
      </c>
      <c r="F33" s="8">
        <f>SUM(F4:F32)</f>
        <v/>
      </c>
      <c r="G33" s="8">
        <f>SUM(G4:G32)</f>
        <v/>
      </c>
      <c r="H33" s="8">
        <f>SUM(H4:H32)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8" customWidth="1" min="1" max="1"/>
    <col width="60" customWidth="1" min="2" max="2"/>
    <col width="14" customWidth="1" min="3" max="3"/>
    <col width="14" customWidth="1" min="4" max="4"/>
  </cols>
  <sheetData>
    <row r="1">
      <c r="A1" s="1" t="inlineStr">
        <is>
          <t>Бухгалтерский баланс по форме №404, тыс. ₸ (на 31 декабря)</t>
        </is>
      </c>
    </row>
    <row r="3">
      <c r="A3" s="3" t="inlineStr">
        <is>
          <t>Код</t>
        </is>
      </c>
      <c r="B3" s="3" t="inlineStr">
        <is>
          <t>Статья</t>
        </is>
      </c>
      <c r="C3" s="3" t="inlineStr">
        <is>
          <t>2023</t>
        </is>
      </c>
      <c r="D3" s="3" t="inlineStr">
        <is>
          <t>2024</t>
        </is>
      </c>
    </row>
    <row r="4">
      <c r="A4" t="inlineStr"/>
      <c r="B4" s="7" t="inlineStr">
        <is>
          <t>I. Краткосрочные активы</t>
        </is>
      </c>
    </row>
    <row r="5">
      <c r="A5" t="inlineStr">
        <is>
          <t>010</t>
        </is>
      </c>
      <c r="B5" t="inlineStr">
        <is>
          <t>Денежные средства и их эквиваленты</t>
        </is>
      </c>
      <c r="C5" s="5" t="n">
        <v>18400</v>
      </c>
      <c r="D5" s="5" t="n">
        <v>22100</v>
      </c>
    </row>
    <row r="6">
      <c r="A6" t="inlineStr">
        <is>
          <t>016</t>
        </is>
      </c>
      <c r="B6" t="inlineStr">
        <is>
          <t>Краткосрочная торговая и прочая дебиторская задолженность</t>
        </is>
      </c>
      <c r="C6" s="5" t="n">
        <v>64200</v>
      </c>
      <c r="D6" s="5" t="n">
        <v>81500</v>
      </c>
    </row>
    <row r="7">
      <c r="A7" t="inlineStr">
        <is>
          <t>020</t>
        </is>
      </c>
      <c r="B7" t="inlineStr">
        <is>
          <t>Запасы</t>
        </is>
      </c>
      <c r="C7" s="5" t="n">
        <v>92300</v>
      </c>
      <c r="D7" s="5" t="n">
        <v>104700</v>
      </c>
    </row>
    <row r="8">
      <c r="A8" t="inlineStr">
        <is>
          <t>022</t>
        </is>
      </c>
      <c r="B8" t="inlineStr">
        <is>
          <t>Прочие краткосрочные активы</t>
        </is>
      </c>
      <c r="C8" s="5" t="n">
        <v>7600</v>
      </c>
      <c r="D8" s="5" t="n">
        <v>9300</v>
      </c>
    </row>
    <row r="9">
      <c r="A9" t="inlineStr">
        <is>
          <t>100</t>
        </is>
      </c>
      <c r="B9" s="7" t="inlineStr">
        <is>
          <t>Итого краткосрочных активов</t>
        </is>
      </c>
      <c r="C9" s="8">
        <f>C5+C6+C7+C8</f>
        <v/>
      </c>
      <c r="D9" s="8">
        <f>D5+D6+D7+D8</f>
        <v/>
      </c>
    </row>
    <row r="10">
      <c r="A10" t="inlineStr"/>
      <c r="B10" s="7" t="inlineStr">
        <is>
          <t>II. Долгосрочные активы</t>
        </is>
      </c>
    </row>
    <row r="11">
      <c r="A11" t="inlineStr">
        <is>
          <t>117</t>
        </is>
      </c>
      <c r="B11" t="inlineStr">
        <is>
          <t>Долгосрочная торговая и прочая дебиторская задолженность</t>
        </is>
      </c>
      <c r="C11" s="5" t="n">
        <v>0</v>
      </c>
      <c r="D11" s="5" t="n">
        <v>0</v>
      </c>
    </row>
    <row r="12">
      <c r="A12" t="inlineStr">
        <is>
          <t>121</t>
        </is>
      </c>
      <c r="B12" t="inlineStr">
        <is>
          <t>Основные средства</t>
        </is>
      </c>
      <c r="C12" s="5" t="n">
        <v>41800</v>
      </c>
      <c r="D12" s="5" t="n">
        <v>46300</v>
      </c>
    </row>
    <row r="13">
      <c r="A13" t="inlineStr">
        <is>
          <t>125</t>
        </is>
      </c>
      <c r="B13" t="inlineStr">
        <is>
          <t>Нематериальные активы</t>
        </is>
      </c>
      <c r="C13" s="5" t="n">
        <v>600</v>
      </c>
      <c r="D13" s="5" t="n">
        <v>500</v>
      </c>
    </row>
    <row r="14">
      <c r="A14" t="inlineStr">
        <is>
          <t>200</t>
        </is>
      </c>
      <c r="B14" s="7" t="inlineStr">
        <is>
          <t>Итого долгосрочных активов</t>
        </is>
      </c>
      <c r="C14" s="8">
        <f>C11+C12+C13</f>
        <v/>
      </c>
      <c r="D14" s="8">
        <f>D11+D12+D13</f>
        <v/>
      </c>
    </row>
    <row r="15">
      <c r="A15" t="inlineStr"/>
      <c r="B15" s="7" t="inlineStr">
        <is>
          <t>БАЛАНС (актив)</t>
        </is>
      </c>
      <c r="C15" s="8">
        <f>C9+C14</f>
        <v/>
      </c>
      <c r="D15" s="8">
        <f>D9+D14</f>
        <v/>
      </c>
    </row>
    <row r="16">
      <c r="A16" t="inlineStr"/>
      <c r="B16" s="7" t="inlineStr">
        <is>
          <t>III. Краткосрочные обязательства</t>
        </is>
      </c>
    </row>
    <row r="17">
      <c r="A17" t="inlineStr">
        <is>
          <t>210</t>
        </is>
      </c>
      <c r="B17" t="inlineStr">
        <is>
          <t>Краткосрочные финансовые обязательства (займы)</t>
        </is>
      </c>
      <c r="C17" s="5" t="n">
        <v>30000</v>
      </c>
      <c r="D17" s="5" t="n">
        <v>45000</v>
      </c>
    </row>
    <row r="18">
      <c r="A18" t="inlineStr">
        <is>
          <t>214</t>
        </is>
      </c>
      <c r="B18" t="inlineStr">
        <is>
          <t>Краткосрочная торговая и прочая кредиторская задолженность</t>
        </is>
      </c>
      <c r="C18" s="5" t="n">
        <v>71300</v>
      </c>
      <c r="D18" s="5" t="n">
        <v>82600</v>
      </c>
    </row>
    <row r="19">
      <c r="A19" t="inlineStr">
        <is>
          <t>216</t>
        </is>
      </c>
      <c r="B19" t="inlineStr">
        <is>
          <t>Текущие налоговые обязательства по подоходному налогу</t>
        </is>
      </c>
      <c r="C19" s="5" t="n">
        <v>1900</v>
      </c>
      <c r="D19" s="5" t="n">
        <v>2300</v>
      </c>
    </row>
    <row r="20">
      <c r="A20" t="inlineStr">
        <is>
          <t>217</t>
        </is>
      </c>
      <c r="B20" t="inlineStr">
        <is>
          <t>Вознаграждения работникам</t>
        </is>
      </c>
      <c r="C20" s="5" t="n">
        <v>2100</v>
      </c>
      <c r="D20" s="5" t="n">
        <v>2400</v>
      </c>
    </row>
    <row r="21">
      <c r="A21" t="inlineStr">
        <is>
          <t>219</t>
        </is>
      </c>
      <c r="B21" t="inlineStr">
        <is>
          <t>Краткосрочные обязательства по договорам с покупателями</t>
        </is>
      </c>
      <c r="C21" s="5" t="n">
        <v>4600</v>
      </c>
      <c r="D21" s="5" t="n">
        <v>5100</v>
      </c>
    </row>
    <row r="22">
      <c r="A22" t="inlineStr">
        <is>
          <t>222</t>
        </is>
      </c>
      <c r="B22" t="inlineStr">
        <is>
          <t>Прочие краткосрочные обязательства</t>
        </is>
      </c>
      <c r="C22" s="5" t="n">
        <v>2200</v>
      </c>
      <c r="D22" s="5" t="n">
        <v>2400</v>
      </c>
    </row>
    <row r="23">
      <c r="A23" t="inlineStr">
        <is>
          <t>300</t>
        </is>
      </c>
      <c r="B23" s="7" t="inlineStr">
        <is>
          <t>Итого краткосрочных обязательств</t>
        </is>
      </c>
      <c r="C23" s="8">
        <f>C17+C18+C19+C20+C21+C22</f>
        <v/>
      </c>
      <c r="D23" s="8">
        <f>D17+D18+D19+D20+D21+D22</f>
        <v/>
      </c>
    </row>
    <row r="24">
      <c r="A24" t="inlineStr"/>
      <c r="B24" s="7" t="inlineStr">
        <is>
          <t>IV. Долгосрочные обязательства</t>
        </is>
      </c>
    </row>
    <row r="25">
      <c r="A25" t="inlineStr">
        <is>
          <t>310</t>
        </is>
      </c>
      <c r="B25" t="inlineStr">
        <is>
          <t>Долгосрочные финансовые обязательства (займы)</t>
        </is>
      </c>
      <c r="C25" s="5" t="n">
        <v>25000</v>
      </c>
      <c r="D25" s="5" t="n">
        <v>20000</v>
      </c>
    </row>
    <row r="26">
      <c r="A26" t="inlineStr">
        <is>
          <t>400</t>
        </is>
      </c>
      <c r="B26" s="7" t="inlineStr">
        <is>
          <t>Итого долгосрочных обязательств</t>
        </is>
      </c>
      <c r="C26" s="8">
        <f>C25</f>
        <v/>
      </c>
      <c r="D26" s="8">
        <f>D25</f>
        <v/>
      </c>
    </row>
    <row r="27">
      <c r="A27" t="inlineStr"/>
      <c r="B27" s="7" t="inlineStr">
        <is>
          <t>V. Капитал</t>
        </is>
      </c>
    </row>
    <row r="28">
      <c r="A28" t="inlineStr">
        <is>
          <t>410</t>
        </is>
      </c>
      <c r="B28" t="inlineStr">
        <is>
          <t>Уставный капитал</t>
        </is>
      </c>
      <c r="C28" s="5" t="n">
        <v>1000</v>
      </c>
      <c r="D28" s="5" t="n">
        <v>1000</v>
      </c>
    </row>
    <row r="29">
      <c r="A29" t="inlineStr">
        <is>
          <t>414</t>
        </is>
      </c>
      <c r="B29" t="inlineStr">
        <is>
          <t>Нераспределённая прибыль</t>
        </is>
      </c>
      <c r="C29" s="5" t="n">
        <v>86800</v>
      </c>
      <c r="D29" s="5" t="n">
        <v>103600</v>
      </c>
    </row>
    <row r="30">
      <c r="A30" t="inlineStr">
        <is>
          <t>500</t>
        </is>
      </c>
      <c r="B30" s="7" t="inlineStr">
        <is>
          <t>Всего капитал</t>
        </is>
      </c>
      <c r="C30" s="8">
        <f>C28+C29</f>
        <v/>
      </c>
      <c r="D30" s="8">
        <f>D28+D29</f>
        <v/>
      </c>
    </row>
    <row r="31">
      <c r="A31" t="inlineStr"/>
      <c r="B31" s="7" t="inlineStr">
        <is>
          <t>БАЛАНС (пассив)</t>
        </is>
      </c>
      <c r="C31" s="8">
        <f>C23+C26+C30</f>
        <v/>
      </c>
      <c r="D31" s="8">
        <f>D23+D26+D30</f>
        <v/>
      </c>
    </row>
    <row r="33">
      <c r="B33" s="7" t="inlineStr">
        <is>
          <t>Проверка: актив − пассив (должно быть 0)</t>
        </is>
      </c>
      <c r="C33" s="9">
        <f>C15-C31</f>
        <v/>
      </c>
      <c r="D33" s="9">
        <f>D15-D31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8" customWidth="1" min="1" max="1"/>
    <col width="60" customWidth="1" min="2" max="2"/>
    <col width="14" customWidth="1" min="3" max="3"/>
    <col width="14" customWidth="1" min="4" max="4"/>
  </cols>
  <sheetData>
    <row r="1">
      <c r="A1" s="1" t="inlineStr">
        <is>
          <t>Бухгалтерский баланс по форме №404, тыс. ₸ (на 31 декабря)</t>
        </is>
      </c>
    </row>
    <row r="3">
      <c r="A3" s="3" t="inlineStr">
        <is>
          <t>Код</t>
        </is>
      </c>
      <c r="B3" s="3" t="inlineStr">
        <is>
          <t>Статья</t>
        </is>
      </c>
      <c r="C3" s="3" t="inlineStr">
        <is>
          <t>2024</t>
        </is>
      </c>
      <c r="D3" s="3" t="inlineStr">
        <is>
          <t>2025</t>
        </is>
      </c>
    </row>
    <row r="4">
      <c r="A4" t="inlineStr"/>
      <c r="B4" s="7" t="inlineStr">
        <is>
          <t>I. Краткосрочные активы</t>
        </is>
      </c>
    </row>
    <row r="5">
      <c r="A5" t="inlineStr">
        <is>
          <t>010</t>
        </is>
      </c>
      <c r="B5" t="inlineStr">
        <is>
          <t>Денежные средства и их эквиваленты</t>
        </is>
      </c>
      <c r="C5" s="5" t="n">
        <v>22100</v>
      </c>
      <c r="D5" s="10" t="n"/>
    </row>
    <row r="6">
      <c r="A6" t="inlineStr">
        <is>
          <t>016</t>
        </is>
      </c>
      <c r="B6" t="inlineStr">
        <is>
          <t>Краткосрочная торговая и прочая дебиторская задолженность</t>
        </is>
      </c>
      <c r="C6" s="5" t="n">
        <v>81500</v>
      </c>
      <c r="D6" s="10" t="n"/>
    </row>
    <row r="7">
      <c r="A7" t="inlineStr">
        <is>
          <t>020</t>
        </is>
      </c>
      <c r="B7" t="inlineStr">
        <is>
          <t>Запасы</t>
        </is>
      </c>
      <c r="C7" s="5" t="n">
        <v>104700</v>
      </c>
      <c r="D7" s="10" t="n"/>
    </row>
    <row r="8">
      <c r="A8" t="inlineStr">
        <is>
          <t>022</t>
        </is>
      </c>
      <c r="B8" t="inlineStr">
        <is>
          <t>Прочие краткосрочные активы</t>
        </is>
      </c>
      <c r="C8" s="5" t="n">
        <v>9300</v>
      </c>
      <c r="D8" s="10" t="n"/>
    </row>
    <row r="9">
      <c r="A9" t="inlineStr">
        <is>
          <t>100</t>
        </is>
      </c>
      <c r="B9" s="7" t="inlineStr">
        <is>
          <t>Итого краткосрочных активов</t>
        </is>
      </c>
      <c r="C9" s="8">
        <f>C5+C6+C7+C8</f>
        <v/>
      </c>
      <c r="D9" s="8">
        <f>D5+D6+D7+D8</f>
        <v/>
      </c>
    </row>
    <row r="10">
      <c r="A10" t="inlineStr"/>
      <c r="B10" s="7" t="inlineStr">
        <is>
          <t>II. Долгосрочные активы</t>
        </is>
      </c>
    </row>
    <row r="11">
      <c r="A11" t="inlineStr">
        <is>
          <t>117</t>
        </is>
      </c>
      <c r="B11" t="inlineStr">
        <is>
          <t>Долгосрочная торговая и прочая дебиторская задолженность</t>
        </is>
      </c>
      <c r="C11" s="5" t="n">
        <v>0</v>
      </c>
      <c r="D11" s="10" t="n"/>
    </row>
    <row r="12">
      <c r="A12" t="inlineStr">
        <is>
          <t>121</t>
        </is>
      </c>
      <c r="B12" t="inlineStr">
        <is>
          <t>Основные средства</t>
        </is>
      </c>
      <c r="C12" s="5" t="n">
        <v>46300</v>
      </c>
      <c r="D12" s="10" t="n"/>
    </row>
    <row r="13">
      <c r="A13" t="inlineStr">
        <is>
          <t>125</t>
        </is>
      </c>
      <c r="B13" t="inlineStr">
        <is>
          <t>Нематериальные активы</t>
        </is>
      </c>
      <c r="C13" s="5" t="n">
        <v>500</v>
      </c>
      <c r="D13" s="10" t="n"/>
    </row>
    <row r="14">
      <c r="A14" t="inlineStr">
        <is>
          <t>200</t>
        </is>
      </c>
      <c r="B14" s="7" t="inlineStr">
        <is>
          <t>Итого долгосрочных активов</t>
        </is>
      </c>
      <c r="C14" s="8">
        <f>C11+C12+C13</f>
        <v/>
      </c>
      <c r="D14" s="8">
        <f>D11+D12+D13</f>
        <v/>
      </c>
    </row>
    <row r="15">
      <c r="A15" t="inlineStr"/>
      <c r="B15" s="7" t="inlineStr">
        <is>
          <t>БАЛАНС (актив)</t>
        </is>
      </c>
      <c r="C15" s="8">
        <f>C9+C14</f>
        <v/>
      </c>
      <c r="D15" s="8">
        <f>D9+D14</f>
        <v/>
      </c>
    </row>
    <row r="16">
      <c r="A16" t="inlineStr"/>
      <c r="B16" s="7" t="inlineStr">
        <is>
          <t>III. Краткосрочные обязательства</t>
        </is>
      </c>
    </row>
    <row r="17">
      <c r="A17" t="inlineStr">
        <is>
          <t>210</t>
        </is>
      </c>
      <c r="B17" t="inlineStr">
        <is>
          <t>Краткосрочные финансовые обязательства (займы)</t>
        </is>
      </c>
      <c r="C17" s="5" t="n">
        <v>45000</v>
      </c>
      <c r="D17" s="10" t="n"/>
    </row>
    <row r="18">
      <c r="A18" t="inlineStr">
        <is>
          <t>214</t>
        </is>
      </c>
      <c r="B18" t="inlineStr">
        <is>
          <t>Краткосрочная торговая и прочая кредиторская задолженность</t>
        </is>
      </c>
      <c r="C18" s="5" t="n">
        <v>82600</v>
      </c>
      <c r="D18" s="10" t="n"/>
    </row>
    <row r="19">
      <c r="A19" t="inlineStr">
        <is>
          <t>216</t>
        </is>
      </c>
      <c r="B19" t="inlineStr">
        <is>
          <t>Текущие налоговые обязательства по подоходному налогу</t>
        </is>
      </c>
      <c r="C19" s="5" t="n">
        <v>2300</v>
      </c>
      <c r="D19" s="10" t="n"/>
    </row>
    <row r="20">
      <c r="A20" t="inlineStr">
        <is>
          <t>217</t>
        </is>
      </c>
      <c r="B20" t="inlineStr">
        <is>
          <t>Вознаграждения работникам</t>
        </is>
      </c>
      <c r="C20" s="5" t="n">
        <v>2400</v>
      </c>
      <c r="D20" s="10" t="n"/>
    </row>
    <row r="21">
      <c r="A21" t="inlineStr">
        <is>
          <t>219</t>
        </is>
      </c>
      <c r="B21" t="inlineStr">
        <is>
          <t>Краткосрочные обязательства по договорам с покупателями</t>
        </is>
      </c>
      <c r="C21" s="5" t="n">
        <v>5100</v>
      </c>
      <c r="D21" s="10" t="n"/>
    </row>
    <row r="22">
      <c r="A22" t="inlineStr">
        <is>
          <t>222</t>
        </is>
      </c>
      <c r="B22" t="inlineStr">
        <is>
          <t>Прочие краткосрочные обязательства</t>
        </is>
      </c>
      <c r="C22" s="5" t="n">
        <v>2400</v>
      </c>
      <c r="D22" s="10" t="n"/>
    </row>
    <row r="23">
      <c r="A23" t="inlineStr">
        <is>
          <t>300</t>
        </is>
      </c>
      <c r="B23" s="7" t="inlineStr">
        <is>
          <t>Итого краткосрочных обязательств</t>
        </is>
      </c>
      <c r="C23" s="8">
        <f>C17+C18+C19+C20+C21+C22</f>
        <v/>
      </c>
      <c r="D23" s="8">
        <f>D17+D18+D19+D20+D21+D22</f>
        <v/>
      </c>
    </row>
    <row r="24">
      <c r="A24" t="inlineStr"/>
      <c r="B24" s="7" t="inlineStr">
        <is>
          <t>IV. Долгосрочные обязательства</t>
        </is>
      </c>
    </row>
    <row r="25">
      <c r="A25" t="inlineStr">
        <is>
          <t>310</t>
        </is>
      </c>
      <c r="B25" t="inlineStr">
        <is>
          <t>Долгосрочные финансовые обязательства (займы)</t>
        </is>
      </c>
      <c r="C25" s="5" t="n">
        <v>20000</v>
      </c>
      <c r="D25" s="10" t="n"/>
    </row>
    <row r="26">
      <c r="A26" t="inlineStr">
        <is>
          <t>400</t>
        </is>
      </c>
      <c r="B26" s="7" t="inlineStr">
        <is>
          <t>Итого долгосрочных обязательств</t>
        </is>
      </c>
      <c r="C26" s="8">
        <f>C25</f>
        <v/>
      </c>
      <c r="D26" s="8">
        <f>D25</f>
        <v/>
      </c>
    </row>
    <row r="27">
      <c r="A27" t="inlineStr"/>
      <c r="B27" s="7" t="inlineStr">
        <is>
          <t>V. Капитал</t>
        </is>
      </c>
    </row>
    <row r="28">
      <c r="A28" t="inlineStr">
        <is>
          <t>410</t>
        </is>
      </c>
      <c r="B28" t="inlineStr">
        <is>
          <t>Уставный капитал</t>
        </is>
      </c>
      <c r="C28" s="5" t="n">
        <v>1000</v>
      </c>
      <c r="D28" s="10" t="n"/>
    </row>
    <row r="29">
      <c r="A29" t="inlineStr">
        <is>
          <t>414</t>
        </is>
      </c>
      <c r="B29" t="inlineStr">
        <is>
          <t>Нераспределённая прибыль</t>
        </is>
      </c>
      <c r="C29" s="5" t="n">
        <v>103600</v>
      </c>
      <c r="D29" s="10" t="n"/>
    </row>
    <row r="30">
      <c r="A30" t="inlineStr">
        <is>
          <t>500</t>
        </is>
      </c>
      <c r="B30" s="7" t="inlineStr">
        <is>
          <t>Всего капитал</t>
        </is>
      </c>
      <c r="C30" s="8">
        <f>C28+C29</f>
        <v/>
      </c>
      <c r="D30" s="8">
        <f>D28+D29</f>
        <v/>
      </c>
    </row>
    <row r="31">
      <c r="A31" t="inlineStr"/>
      <c r="B31" s="7" t="inlineStr">
        <is>
          <t>БАЛАНС (пассив)</t>
        </is>
      </c>
      <c r="C31" s="8">
        <f>C23+C26+C30</f>
        <v/>
      </c>
      <c r="D31" s="8">
        <f>D23+D26+D30</f>
        <v/>
      </c>
    </row>
    <row r="33">
      <c r="B33" s="7" t="inlineStr">
        <is>
          <t>Проверка: актив − пассив (должно быть 0)</t>
        </is>
      </c>
      <c r="C33" s="9">
        <f>C15-C31</f>
        <v/>
      </c>
      <c r="D33" s="9">
        <f>D15-D31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</cols>
  <sheetData>
    <row r="1">
      <c r="A1" s="1" t="inlineStr">
        <is>
          <t>Выручка (ОПиУ, строка 010), тыс. ₸</t>
        </is>
      </c>
    </row>
    <row r="3">
      <c r="A3" s="3" t="inlineStr">
        <is>
          <t>Год</t>
        </is>
      </c>
      <c r="B3" s="3" t="inlineStr">
        <is>
          <t>Выручка</t>
        </is>
      </c>
    </row>
    <row r="4">
      <c r="A4" t="inlineStr">
        <is>
          <t>2023</t>
        </is>
      </c>
      <c r="B4" s="6" t="n">
        <v>412000</v>
      </c>
    </row>
    <row r="5">
      <c r="A5" t="inlineStr">
        <is>
          <t>2024</t>
        </is>
      </c>
      <c r="B5" s="6" t="n">
        <v>486500</v>
      </c>
    </row>
    <row r="6">
      <c r="A6" t="inlineStr">
        <is>
          <t>2025</t>
        </is>
      </c>
      <c r="B6" s="6" t="n">
        <v>574300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64" customWidth="1" min="1" max="1"/>
    <col width="18" customWidth="1" min="2" max="2"/>
  </cols>
  <sheetData>
    <row r="1">
      <c r="A1" s="1" t="inlineStr">
        <is>
          <t>Пакет документов для сверок, 2025 год, тыс. ₸</t>
        </is>
      </c>
    </row>
    <row r="3">
      <c r="A3" s="7" t="inlineStr">
        <is>
          <t>Отчётность</t>
        </is>
      </c>
    </row>
    <row r="4">
      <c r="A4" t="inlineStr">
        <is>
          <t>ОПиУ, стр. 010 — выручка</t>
        </is>
      </c>
      <c r="B4" s="6" t="n">
        <v>574300</v>
      </c>
    </row>
    <row r="5">
      <c r="A5" t="inlineStr">
        <is>
          <t>Баланс, стр. 016 — ДЗ на начало / конец года</t>
        </is>
      </c>
      <c r="B5" t="inlineStr">
        <is>
          <t>81 500 / 118 900</t>
        </is>
      </c>
    </row>
    <row r="6">
      <c r="A6" t="inlineStr">
        <is>
          <t>Баланс, стр. 219 — авансы полученные на начало / конец</t>
        </is>
      </c>
      <c r="B6" t="inlineStr">
        <is>
          <t>5 100 / 6 900</t>
        </is>
      </c>
    </row>
    <row r="7">
      <c r="A7" t="inlineStr">
        <is>
          <t>Баланс, стр. 210 + 310 — займы на конец года</t>
        </is>
      </c>
      <c r="B7" t="inlineStr">
        <is>
          <t>78 000 + 15 000</t>
        </is>
      </c>
    </row>
    <row r="8">
      <c r="A8" s="7" t="inlineStr">
        <is>
          <t>Налоговые декларации</t>
        </is>
      </c>
    </row>
    <row r="9">
      <c r="A9" t="inlineStr">
        <is>
          <t>ФНО 100.00 — доход от реализации</t>
        </is>
      </c>
      <c r="B9" s="6" t="n">
        <v>560800</v>
      </c>
    </row>
    <row r="10">
      <c r="A10" t="inlineStr">
        <is>
          <t>ФНО 300.00 — облагаемый оборот по НДС</t>
        </is>
      </c>
      <c r="B10" s="6" t="n">
        <v>571900</v>
      </c>
    </row>
    <row r="11">
      <c r="A11" s="7" t="inlineStr">
        <is>
          <t>Банковские выписки, все счета</t>
        </is>
      </c>
    </row>
    <row r="12">
      <c r="A12" t="inlineStr">
        <is>
          <t>Поступления, всего</t>
        </is>
      </c>
      <c r="B12" s="6" t="n">
        <v>695200</v>
      </c>
    </row>
    <row r="13">
      <c r="A13" t="inlineStr">
        <is>
          <t xml:space="preserve">  оплата задолженности покупателей</t>
        </is>
      </c>
      <c r="B13" s="6" t="n">
        <v>564600</v>
      </c>
    </row>
    <row r="14">
      <c r="A14" t="inlineStr">
        <is>
          <t xml:space="preserve">  авансы от покупателей</t>
        </is>
      </c>
      <c r="B14" s="6" t="n">
        <v>43000</v>
      </c>
    </row>
    <row r="15">
      <c r="A15" t="inlineStr">
        <is>
          <t xml:space="preserve">  банковские займы</t>
        </is>
      </c>
      <c r="B15" s="6" t="n">
        <v>85000</v>
      </c>
    </row>
    <row r="16">
      <c r="A16" t="inlineStr">
        <is>
          <t xml:space="preserve">  прочие поступления</t>
        </is>
      </c>
      <c r="B16" s="6" t="n">
        <v>2600</v>
      </c>
    </row>
    <row r="17">
      <c r="A17" t="inlineStr">
        <is>
          <t>Списания, всего</t>
        </is>
      </c>
      <c r="B17" s="6" t="n">
        <v>707400</v>
      </c>
    </row>
    <row r="18">
      <c r="A18" s="7" t="inlineStr">
        <is>
          <t>Кредитный отчёт ПКБ на 31.12.2025</t>
        </is>
      </c>
    </row>
    <row r="19">
      <c r="A19" t="inlineStr">
        <is>
          <t>Банк А — кредитная линия, остаток</t>
        </is>
      </c>
      <c r="B19" s="6" t="n">
        <v>78000</v>
      </c>
    </row>
    <row r="20">
      <c r="A20" t="inlineStr">
        <is>
          <t>Банк Б — займ, остаток</t>
        </is>
      </c>
      <c r="B20" s="6" t="n">
        <v>15000</v>
      </c>
    </row>
    <row r="21">
      <c r="A21" t="inlineStr">
        <is>
          <t>Лизинговая компания — финансовый лизинг автотранспорта, остаток</t>
        </is>
      </c>
      <c r="B21" s="6" t="n">
        <v>6000</v>
      </c>
    </row>
    <row r="22">
      <c r="A22" t="inlineStr">
        <is>
          <t>Просрочки</t>
        </is>
      </c>
      <c r="B22" t="inlineStr">
        <is>
          <t>нет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2026-10-18T14:59:40Z</dcterms:created>
  <dcterms:modified xmlns:dcterms="http://purl.org/dc/terms/" xmlns:xsi="http://www.w3.org/2001/XMLSchema-instance" xsi:type="dcterms:W3CDTF">2026-10-18T14:59:40Z</dcterms:modified>
</cp:coreProperties>
</file>